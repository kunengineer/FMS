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Fleet-Manager-System\"/>
    </mc:Choice>
  </mc:AlternateContent>
  <xr:revisionPtr revIDLastSave="0" documentId="13_ncr:1_{51E35AB3-D494-4166-8676-DDAF748042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NH_MUC" sheetId="1" r:id="rId1"/>
    <sheet name="2026-W1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5" l="1"/>
  <c r="D35" i="5"/>
  <c r="C35" i="5"/>
  <c r="G34" i="5"/>
  <c r="D34" i="5"/>
  <c r="C34" i="5"/>
  <c r="G33" i="5"/>
  <c r="D33" i="5"/>
  <c r="C33" i="5"/>
  <c r="G32" i="5"/>
  <c r="D32" i="5"/>
  <c r="C32" i="5"/>
  <c r="G31" i="5"/>
  <c r="D31" i="5"/>
  <c r="C31" i="5"/>
  <c r="G30" i="5"/>
  <c r="D30" i="5"/>
  <c r="C30" i="5"/>
  <c r="G29" i="5"/>
  <c r="D29" i="5"/>
  <c r="C29" i="5"/>
  <c r="G27" i="5"/>
  <c r="D27" i="5"/>
  <c r="C27" i="5"/>
  <c r="G26" i="5"/>
  <c r="D26" i="5"/>
  <c r="C26" i="5"/>
  <c r="G25" i="5"/>
  <c r="D25" i="5"/>
  <c r="C25" i="5"/>
  <c r="G24" i="5"/>
  <c r="D24" i="5"/>
  <c r="C24" i="5"/>
  <c r="G23" i="5"/>
  <c r="D23" i="5"/>
  <c r="C23" i="5"/>
  <c r="G21" i="5"/>
  <c r="D21" i="5"/>
  <c r="C21" i="5"/>
  <c r="G20" i="5"/>
  <c r="D20" i="5"/>
  <c r="C20" i="5"/>
  <c r="G19" i="5"/>
  <c r="D19" i="5"/>
  <c r="C19" i="5"/>
  <c r="G18" i="5"/>
  <c r="D18" i="5"/>
  <c r="C18" i="5"/>
  <c r="G17" i="5"/>
  <c r="D17" i="5"/>
  <c r="C17" i="5"/>
  <c r="G15" i="5"/>
  <c r="D15" i="5"/>
  <c r="C15" i="5"/>
  <c r="G14" i="5"/>
  <c r="D14" i="5"/>
  <c r="C14" i="5"/>
</calcChain>
</file>

<file path=xl/sharedStrings.xml><?xml version="1.0" encoding="utf-8"?>
<sst xmlns="http://schemas.openxmlformats.org/spreadsheetml/2006/main" count="189" uniqueCount="125">
  <si>
    <t>STT</t>
  </si>
  <si>
    <t>Mã PT</t>
  </si>
  <si>
    <t>LB01</t>
  </si>
  <si>
    <t>Bình thường</t>
  </si>
  <si>
    <t>LB02</t>
  </si>
  <si>
    <t>PC200-7</t>
  </si>
  <si>
    <t>Tên thiết bị</t>
  </si>
  <si>
    <t>Nhóm</t>
  </si>
  <si>
    <t>Thông số KT</t>
  </si>
  <si>
    <t>Liebherr CBB 32(40)/32- LB40-1</t>
  </si>
  <si>
    <t>Cần cẩu</t>
  </si>
  <si>
    <t>40T</t>
  </si>
  <si>
    <t>Liebherr CBB 32(40)/32- LB40-2</t>
  </si>
  <si>
    <t>SK300</t>
  </si>
  <si>
    <t>Kobelco SK300</t>
  </si>
  <si>
    <t>Xe cuốc</t>
  </si>
  <si>
    <t>230HP/1.2m³</t>
  </si>
  <si>
    <t>SK250</t>
  </si>
  <si>
    <t>Kobelco SK250-8</t>
  </si>
  <si>
    <t>175HP/1m³</t>
  </si>
  <si>
    <t>PC220</t>
  </si>
  <si>
    <t>Komatsu PC220-8LC</t>
  </si>
  <si>
    <t>180HP/1m³</t>
  </si>
  <si>
    <t>PC200-7LC</t>
  </si>
  <si>
    <t>Komatsu PC200-7LC</t>
  </si>
  <si>
    <t>148HP/0,7m³</t>
  </si>
  <si>
    <t>Komatsu PC200-7</t>
  </si>
  <si>
    <t>145HP/0.7m³</t>
  </si>
  <si>
    <t>T07</t>
  </si>
  <si>
    <t>TCM 2.8T</t>
  </si>
  <si>
    <t>Xe nâng</t>
  </si>
  <si>
    <t>2.8T</t>
  </si>
  <si>
    <t>TCM13-4</t>
  </si>
  <si>
    <t>TCM FD 135</t>
  </si>
  <si>
    <t>13.5T/146HP</t>
  </si>
  <si>
    <t>KM25-1</t>
  </si>
  <si>
    <t>KALMAR KM25-1</t>
  </si>
  <si>
    <t>–</t>
  </si>
  <si>
    <t>TCM25-2</t>
  </si>
  <si>
    <t>TCM FD 250Z5</t>
  </si>
  <si>
    <t>25T</t>
  </si>
  <si>
    <t>CAT902</t>
  </si>
  <si>
    <t>Xúc lật KUBOTA RA501</t>
  </si>
  <si>
    <t>G01</t>
  </si>
  <si>
    <t>Gàu diesel số 1</t>
  </si>
  <si>
    <t>Gàu ngoạm</t>
  </si>
  <si>
    <t>51KW/5m³</t>
  </si>
  <si>
    <t>G02</t>
  </si>
  <si>
    <t>Gàu diesel số 2</t>
  </si>
  <si>
    <t>G03</t>
  </si>
  <si>
    <t>Gàu diesel số 3</t>
  </si>
  <si>
    <t>G06</t>
  </si>
  <si>
    <t>Gàu diesel số 6</t>
  </si>
  <si>
    <t>G07</t>
  </si>
  <si>
    <t>Gàu diesel số 7</t>
  </si>
  <si>
    <t>GD01</t>
  </si>
  <si>
    <t>Gàu điện 5m³</t>
  </si>
  <si>
    <t>5m³</t>
  </si>
  <si>
    <t>GD02</t>
  </si>
  <si>
    <t>Gàu điện 10m³</t>
  </si>
  <si>
    <t>10m³</t>
  </si>
  <si>
    <t>Giờ đầu</t>
  </si>
  <si>
    <t>Giờ cuối</t>
  </si>
  <si>
    <t>Giờ HĐ</t>
  </si>
  <si>
    <t>Tình trạng</t>
  </si>
  <si>
    <t>Hạng mục</t>
  </si>
  <si>
    <t>Mô tả TG SC</t>
  </si>
  <si>
    <t>Giờ SC</t>
  </si>
  <si>
    <t>SL SC</t>
  </si>
  <si>
    <t>SC xong?</t>
  </si>
  <si>
    <t>Tồn đọng từ ngày</t>
  </si>
  <si>
    <t>Ghi chú</t>
  </si>
  <si>
    <t>Đề nghị</t>
  </si>
  <si>
    <t>I. NHÓM CẦN CẨU</t>
  </si>
  <si>
    <t>Bảo dưỡng 750h</t>
  </si>
  <si>
    <t>2h</t>
  </si>
  <si>
    <t>Có</t>
  </si>
  <si>
    <t>Có lỗi nhẹ</t>
  </si>
  <si>
    <t>Valve hãm tải rung giật</t>
  </si>
  <si>
    <t>Đã báo từ đầu tháng 1/2026</t>
  </si>
  <si>
    <t>Không</t>
  </si>
  <si>
    <t>Đề nghị PKT thay thế sớm</t>
  </si>
  <si>
    <t>II. NHÓM XE CUỐC</t>
  </si>
  <si>
    <t>Hỗn giật mất kiểm soát</t>
  </si>
  <si>
    <t>Ngưng từ 21/04/2026</t>
  </si>
  <si>
    <t>21/04/2026</t>
  </si>
  <si>
    <t>Đề nghị PKT khắc phục</t>
  </si>
  <si>
    <t>Thao tác co duỗi tay cần yếu</t>
  </si>
  <si>
    <t>Báo từ 10/03, chưa dứt</t>
  </si>
  <si>
    <t>Đề nghị PKT sửa dứt điểm</t>
  </si>
  <si>
    <t>Chờ vật tư</t>
  </si>
  <si>
    <t>Hệ thống thủy lực yếu</t>
  </si>
  <si>
    <t>Chờ bơm mới</t>
  </si>
  <si>
    <t>Đề nghị PKT thay bơm</t>
  </si>
  <si>
    <t>Yếu toàn bộ, tắt máy liên tục</t>
  </si>
  <si>
    <t>Từ năm 2025</t>
  </si>
  <si>
    <t>Chỉ dùng chữa cháy</t>
  </si>
  <si>
    <t>Đề nghị thanh lý hoặc sửa lớn</t>
  </si>
  <si>
    <t>III. NHÓM XE NÂNG</t>
  </si>
  <si>
    <t>Đang sửa chữa</t>
  </si>
  <si>
    <t>Dầu DO lọt cácte</t>
  </si>
  <si>
    <t>Đang sửa, dự kiến giữa tuần 15</t>
  </si>
  <si>
    <t>27/03/2026</t>
  </si>
  <si>
    <t>Bể vỏ trước bên trái, đã thay</t>
  </si>
  <si>
    <t>Đã sửa xong</t>
  </si>
  <si>
    <t>Chờ sửa chữa</t>
  </si>
  <si>
    <t>IV. NHÓM GÀU NGOẠM</t>
  </si>
  <si>
    <t>Hỏng hệ thống thủy lực</t>
  </si>
  <si>
    <t>Từ tháng 5/2025</t>
  </si>
  <si>
    <t>Xong</t>
  </si>
  <si>
    <t>Đóng mở chậm</t>
  </si>
  <si>
    <t xml:space="preserve">BÁO CÁO TUẦN TÌNH TRẠNG HOẠT ĐỘNG PHƯƠNG TIỆN </t>
  </si>
  <si>
    <t>CÔNG TY CỔ PHẦN CẢNG SÀI GÒN</t>
  </si>
  <si>
    <t>CỘNG HÒA XÃ HỘI CHỦ NGHĨA VIỆT NAM</t>
  </si>
  <si>
    <t>TT ĐH KT KV BRVT</t>
  </si>
  <si>
    <t>Độc lập – Tự do – Hạnh phúc</t>
  </si>
  <si>
    <t xml:space="preserve"> Ngày 13 tháng 03 năm 2026</t>
  </si>
  <si>
    <t>ĐỘI PHƯƠNG TIỆN</t>
  </si>
  <si>
    <t>Mô tả chi tiết</t>
  </si>
  <si>
    <t>Nâng cần yếu</t>
  </si>
  <si>
    <t>Đã thay vỏ mới</t>
  </si>
  <si>
    <t>Hỏng dây cu roa</t>
  </si>
  <si>
    <t>Đã thay, sửa xong</t>
  </si>
  <si>
    <t>1h</t>
  </si>
  <si>
    <t>Ngưng sửa chữa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</si>
</sst>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1"/>
      <color theme="0"/>
      <name val="Segoe UI"/>
      <family val="2"/>
    </font>
    <font>
      <b/>
      <sz val="14"/>
      <color theme="0"/>
      <name val="Times New Roman"/>
      <family val="1"/>
    </font>
    <font>
      <b/>
      <sz val="18"/>
      <color theme="8" tint="-0.499984740745262"/>
      <name val="Times New Roman"/>
      <family val="1"/>
    </font>
    <font>
      <b/>
      <sz val="14"/>
      <color theme="8" tint="-0.499984740745262"/>
      <name val="Times New Roman"/>
      <family val="1"/>
    </font>
    <font>
      <sz val="12"/>
      <color indexed="12"/>
      <name val="Times New Roman"/>
      <family val="1"/>
    </font>
    <font>
      <sz val="10"/>
      <color indexed="12"/>
      <name val="Times New Roman"/>
      <family val="1"/>
    </font>
    <font>
      <b/>
      <u/>
      <sz val="12"/>
      <color indexed="12"/>
      <name val="Times New Roman"/>
      <family val="1"/>
    </font>
    <font>
      <sz val="12"/>
      <color indexed="10"/>
      <name val="Times New Roman"/>
      <family val="1"/>
    </font>
    <font>
      <i/>
      <sz val="12"/>
      <color rgb="FF1700F0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/>
        <bgColor rgb="FF1F4E79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1" fillId="0" borderId="0" xfId="0" applyFont="1"/>
    <xf numFmtId="0" fontId="14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5" fillId="5" borderId="10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D1" sqref="D1"/>
    </sheetView>
  </sheetViews>
  <sheetFormatPr defaultRowHeight="13.8" x14ac:dyDescent="0.25"/>
  <cols>
    <col min="1" max="1" width="15.109375" style="1" customWidth="1"/>
    <col min="2" max="2" width="35.88671875" style="1" customWidth="1"/>
    <col min="3" max="3" width="14.109375" style="1" customWidth="1"/>
    <col min="4" max="4" width="17.77734375" style="1" customWidth="1"/>
    <col min="5" max="16384" width="8.88671875" style="1"/>
  </cols>
  <sheetData>
    <row r="1" spans="1:7" ht="17.399999999999999" x14ac:dyDescent="0.25">
      <c r="A1" s="4" t="s">
        <v>1</v>
      </c>
      <c r="B1" s="3" t="s">
        <v>6</v>
      </c>
      <c r="C1" s="3" t="s">
        <v>7</v>
      </c>
      <c r="D1" s="3" t="s">
        <v>8</v>
      </c>
    </row>
    <row r="2" spans="1:7" ht="15.6" x14ac:dyDescent="0.25">
      <c r="A2" s="2" t="s">
        <v>2</v>
      </c>
      <c r="B2" s="2" t="s">
        <v>9</v>
      </c>
      <c r="C2" s="2" t="s">
        <v>10</v>
      </c>
      <c r="D2" s="2" t="s">
        <v>11</v>
      </c>
    </row>
    <row r="3" spans="1:7" ht="15.6" x14ac:dyDescent="0.25">
      <c r="A3" s="2" t="s">
        <v>4</v>
      </c>
      <c r="B3" s="2" t="s">
        <v>12</v>
      </c>
      <c r="C3" s="2" t="s">
        <v>10</v>
      </c>
      <c r="D3" s="2" t="s">
        <v>11</v>
      </c>
    </row>
    <row r="4" spans="1:7" ht="15.6" x14ac:dyDescent="0.25">
      <c r="A4" s="2" t="s">
        <v>13</v>
      </c>
      <c r="B4" s="2" t="s">
        <v>14</v>
      </c>
      <c r="C4" s="2" t="s">
        <v>15</v>
      </c>
      <c r="D4" s="2" t="s">
        <v>16</v>
      </c>
    </row>
    <row r="5" spans="1:7" ht="16.8" x14ac:dyDescent="0.25">
      <c r="A5" s="2" t="s">
        <v>17</v>
      </c>
      <c r="B5" s="2" t="s">
        <v>18</v>
      </c>
      <c r="C5" s="2" t="s">
        <v>15</v>
      </c>
      <c r="D5" s="2" t="s">
        <v>19</v>
      </c>
      <c r="G5" s="5"/>
    </row>
    <row r="6" spans="1:7" ht="15.6" x14ac:dyDescent="0.25">
      <c r="A6" s="2" t="s">
        <v>20</v>
      </c>
      <c r="B6" s="2" t="s">
        <v>21</v>
      </c>
      <c r="C6" s="2" t="s">
        <v>15</v>
      </c>
      <c r="D6" s="2" t="s">
        <v>22</v>
      </c>
    </row>
    <row r="7" spans="1:7" ht="15.6" x14ac:dyDescent="0.25">
      <c r="A7" s="2" t="s">
        <v>23</v>
      </c>
      <c r="B7" s="2" t="s">
        <v>24</v>
      </c>
      <c r="C7" s="2" t="s">
        <v>15</v>
      </c>
      <c r="D7" s="2" t="s">
        <v>25</v>
      </c>
    </row>
    <row r="8" spans="1:7" ht="15.6" x14ac:dyDescent="0.25">
      <c r="A8" s="2" t="s">
        <v>5</v>
      </c>
      <c r="B8" s="2" t="s">
        <v>26</v>
      </c>
      <c r="C8" s="2" t="s">
        <v>15</v>
      </c>
      <c r="D8" s="2" t="s">
        <v>27</v>
      </c>
    </row>
    <row r="9" spans="1:7" ht="15.6" x14ac:dyDescent="0.25">
      <c r="A9" s="2" t="s">
        <v>28</v>
      </c>
      <c r="B9" s="2" t="s">
        <v>29</v>
      </c>
      <c r="C9" s="2" t="s">
        <v>30</v>
      </c>
      <c r="D9" s="2" t="s">
        <v>31</v>
      </c>
    </row>
    <row r="10" spans="1:7" ht="15.6" x14ac:dyDescent="0.25">
      <c r="A10" s="2" t="s">
        <v>32</v>
      </c>
      <c r="B10" s="2" t="s">
        <v>33</v>
      </c>
      <c r="C10" s="2" t="s">
        <v>30</v>
      </c>
      <c r="D10" s="2" t="s">
        <v>34</v>
      </c>
    </row>
    <row r="11" spans="1:7" ht="15.6" x14ac:dyDescent="0.25">
      <c r="A11" s="2" t="s">
        <v>35</v>
      </c>
      <c r="B11" s="2" t="s">
        <v>36</v>
      </c>
      <c r="C11" s="2" t="s">
        <v>30</v>
      </c>
      <c r="D11" s="2" t="s">
        <v>37</v>
      </c>
    </row>
    <row r="12" spans="1:7" ht="15.6" x14ac:dyDescent="0.25">
      <c r="A12" s="2" t="s">
        <v>38</v>
      </c>
      <c r="B12" s="2" t="s">
        <v>39</v>
      </c>
      <c r="C12" s="2" t="s">
        <v>30</v>
      </c>
      <c r="D12" s="2" t="s">
        <v>40</v>
      </c>
    </row>
    <row r="13" spans="1:7" ht="15.6" x14ac:dyDescent="0.25">
      <c r="A13" s="2" t="s">
        <v>41</v>
      </c>
      <c r="B13" s="2" t="s">
        <v>42</v>
      </c>
      <c r="C13" s="2" t="s">
        <v>30</v>
      </c>
      <c r="D13" s="2" t="s">
        <v>37</v>
      </c>
    </row>
    <row r="14" spans="1:7" ht="15.6" x14ac:dyDescent="0.25">
      <c r="A14" s="2" t="s">
        <v>43</v>
      </c>
      <c r="B14" s="2" t="s">
        <v>44</v>
      </c>
      <c r="C14" s="2" t="s">
        <v>45</v>
      </c>
      <c r="D14" s="2" t="s">
        <v>46</v>
      </c>
    </row>
    <row r="15" spans="1:7" ht="15.6" x14ac:dyDescent="0.25">
      <c r="A15" s="2" t="s">
        <v>47</v>
      </c>
      <c r="B15" s="2" t="s">
        <v>48</v>
      </c>
      <c r="C15" s="2" t="s">
        <v>45</v>
      </c>
      <c r="D15" s="2" t="s">
        <v>46</v>
      </c>
    </row>
    <row r="16" spans="1:7" ht="15.6" x14ac:dyDescent="0.25">
      <c r="A16" s="2" t="s">
        <v>49</v>
      </c>
      <c r="B16" s="2" t="s">
        <v>50</v>
      </c>
      <c r="C16" s="2" t="s">
        <v>45</v>
      </c>
      <c r="D16" s="2" t="s">
        <v>46</v>
      </c>
    </row>
    <row r="17" spans="1:4" ht="15.6" x14ac:dyDescent="0.25">
      <c r="A17" s="2" t="s">
        <v>51</v>
      </c>
      <c r="B17" s="2" t="s">
        <v>52</v>
      </c>
      <c r="C17" s="2" t="s">
        <v>45</v>
      </c>
      <c r="D17" s="2" t="s">
        <v>37</v>
      </c>
    </row>
    <row r="18" spans="1:4" ht="15.6" x14ac:dyDescent="0.25">
      <c r="A18" s="2" t="s">
        <v>53</v>
      </c>
      <c r="B18" s="2" t="s">
        <v>54</v>
      </c>
      <c r="C18" s="2" t="s">
        <v>45</v>
      </c>
      <c r="D18" s="2" t="s">
        <v>37</v>
      </c>
    </row>
    <row r="19" spans="1:4" ht="15.6" x14ac:dyDescent="0.25">
      <c r="A19" s="2" t="s">
        <v>55</v>
      </c>
      <c r="B19" s="2" t="s">
        <v>56</v>
      </c>
      <c r="C19" s="2" t="s">
        <v>45</v>
      </c>
      <c r="D19" s="2" t="s">
        <v>57</v>
      </c>
    </row>
    <row r="20" spans="1:4" ht="15.6" x14ac:dyDescent="0.25">
      <c r="A20" s="2" t="s">
        <v>58</v>
      </c>
      <c r="B20" s="2" t="s">
        <v>59</v>
      </c>
      <c r="C20" s="2" t="s">
        <v>45</v>
      </c>
      <c r="D20" s="2" t="s">
        <v>60</v>
      </c>
    </row>
  </sheetData>
  <dataValidations count="2">
    <dataValidation type="list" allowBlank="1" showInputMessage="1" showErrorMessage="1" sqref="A1" xr:uid="{2AAC7B44-0012-4C38-BA1F-3D1A8D9EB696}">
      <formula1>$A$2:$A$20</formula1>
    </dataValidation>
    <dataValidation type="list" allowBlank="1" showInputMessage="1" showErrorMessage="1" sqref="A2:A20" xr:uid="{45FABD2D-4D68-4D90-ADF9-6E7B96F68E33}">
      <formula1>$A$2:$A$50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D5FC-D1A5-403D-8253-4440A1A7BB9B}">
  <dimension ref="A1:Q35"/>
  <sheetViews>
    <sheetView tabSelected="1" topLeftCell="A6" zoomScale="90" zoomScaleNormal="100" workbookViewId="0">
      <selection activeCell="L14" sqref="L14"/>
    </sheetView>
  </sheetViews>
  <sheetFormatPr defaultRowHeight="14.4" x14ac:dyDescent="0.3"/>
  <cols>
    <col min="3" max="3" width="16.33203125" customWidth="1"/>
    <col min="4" max="4" width="15.21875" customWidth="1"/>
    <col min="5" max="5" width="9.88671875" bestFit="1" customWidth="1"/>
    <col min="6" max="6" width="12.21875" customWidth="1"/>
    <col min="7" max="7" width="13.5546875" customWidth="1"/>
    <col min="8" max="8" width="14.44140625" customWidth="1"/>
    <col min="9" max="9" width="15.6640625" style="24" bestFit="1" customWidth="1"/>
    <col min="10" max="10" width="16.44140625" style="20" bestFit="1" customWidth="1"/>
    <col min="11" max="11" width="16.21875" bestFit="1" customWidth="1"/>
    <col min="14" max="14" width="11.6640625" bestFit="1" customWidth="1"/>
    <col min="15" max="15" width="21" bestFit="1" customWidth="1"/>
    <col min="16" max="16" width="11.6640625" customWidth="1"/>
    <col min="17" max="17" width="12.77734375" customWidth="1"/>
  </cols>
  <sheetData>
    <row r="1" spans="1:17" ht="15.6" x14ac:dyDescent="0.3">
      <c r="A1" s="35" t="s">
        <v>112</v>
      </c>
      <c r="B1" s="35"/>
      <c r="C1" s="35"/>
      <c r="D1" s="35"/>
      <c r="E1" s="15"/>
      <c r="F1" s="16" t="s">
        <v>113</v>
      </c>
      <c r="G1" s="16"/>
      <c r="H1" s="16"/>
    </row>
    <row r="2" spans="1:17" ht="15.6" x14ac:dyDescent="0.3">
      <c r="A2" s="35" t="s">
        <v>114</v>
      </c>
      <c r="B2" s="35"/>
      <c r="C2" s="35"/>
      <c r="D2" s="35"/>
      <c r="E2" s="16"/>
      <c r="F2" s="35" t="s">
        <v>115</v>
      </c>
      <c r="G2" s="35"/>
      <c r="H2" s="35"/>
    </row>
    <row r="3" spans="1:17" ht="15.6" x14ac:dyDescent="0.3">
      <c r="A3" s="36" t="s">
        <v>117</v>
      </c>
      <c r="B3" s="36"/>
      <c r="C3" s="36"/>
      <c r="D3" s="36"/>
      <c r="E3" s="17"/>
      <c r="F3" s="17"/>
      <c r="G3" s="37" t="s">
        <v>116</v>
      </c>
      <c r="H3" s="37"/>
    </row>
    <row r="9" spans="1:17" x14ac:dyDescent="0.3">
      <c r="A9" s="26" t="s">
        <v>111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1:17" x14ac:dyDescent="0.3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1"/>
    </row>
    <row r="11" spans="1:17" ht="22.8" x14ac:dyDescent="0.3">
      <c r="A11" s="11"/>
      <c r="B11" s="12"/>
      <c r="C11" s="12"/>
      <c r="D11" s="12"/>
      <c r="E11" s="12"/>
      <c r="F11" s="12"/>
      <c r="G11" s="12"/>
      <c r="H11" s="12"/>
      <c r="I11" s="25"/>
      <c r="J11" s="21"/>
      <c r="K11" s="12"/>
      <c r="L11" s="12"/>
      <c r="M11" s="12"/>
      <c r="N11" s="12"/>
      <c r="O11" s="12"/>
      <c r="P11" s="12"/>
      <c r="Q11" s="13"/>
    </row>
    <row r="12" spans="1:17" ht="17.399999999999999" x14ac:dyDescent="0.3">
      <c r="A12" s="14" t="s">
        <v>0</v>
      </c>
      <c r="B12" s="14" t="s">
        <v>1</v>
      </c>
      <c r="C12" s="14" t="s">
        <v>6</v>
      </c>
      <c r="D12" s="14" t="s">
        <v>8</v>
      </c>
      <c r="E12" s="14" t="s">
        <v>61</v>
      </c>
      <c r="F12" s="14" t="s">
        <v>62</v>
      </c>
      <c r="G12" s="14" t="s">
        <v>63</v>
      </c>
      <c r="H12" s="14" t="s">
        <v>64</v>
      </c>
      <c r="I12" s="14" t="s">
        <v>65</v>
      </c>
      <c r="J12" s="14" t="s">
        <v>118</v>
      </c>
      <c r="K12" s="14" t="s">
        <v>66</v>
      </c>
      <c r="L12" s="14" t="s">
        <v>67</v>
      </c>
      <c r="M12" s="14" t="s">
        <v>68</v>
      </c>
      <c r="N12" s="14" t="s">
        <v>69</v>
      </c>
      <c r="O12" s="14" t="s">
        <v>70</v>
      </c>
      <c r="P12" s="14" t="s">
        <v>71</v>
      </c>
      <c r="Q12" s="14" t="s">
        <v>72</v>
      </c>
    </row>
    <row r="13" spans="1:17" ht="17.399999999999999" x14ac:dyDescent="0.3">
      <c r="A13" s="32" t="s">
        <v>73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4"/>
    </row>
    <row r="14" spans="1:17" ht="46.8" x14ac:dyDescent="0.3">
      <c r="A14" s="9">
        <v>1</v>
      </c>
      <c r="B14" s="6" t="s">
        <v>2</v>
      </c>
      <c r="C14" s="6" t="str">
        <f>VLOOKUP(B14, DANH_MUC!$A$2:$D$50, 2, FALSE)</f>
        <v>Liebherr CBB 32(40)/32- LB40-1</v>
      </c>
      <c r="D14" s="9" t="str">
        <f>VLOOKUP(B14, DANH_MUC!$A$2:$D$50, 4, FALSE)</f>
        <v>40T</v>
      </c>
      <c r="E14" s="9">
        <v>44266</v>
      </c>
      <c r="F14" s="9">
        <v>44339</v>
      </c>
      <c r="G14" s="6">
        <f>IF(AND(ISNUMBER(E14),ISNUMBER(F14)),F14-E14,0)</f>
        <v>73</v>
      </c>
      <c r="H14" s="6" t="s">
        <v>3</v>
      </c>
      <c r="I14" s="18"/>
      <c r="J14" s="7" t="s">
        <v>74</v>
      </c>
      <c r="K14" s="6" t="s">
        <v>75</v>
      </c>
      <c r="L14" s="9">
        <v>2</v>
      </c>
      <c r="M14" s="9">
        <v>1</v>
      </c>
      <c r="N14" s="6" t="s">
        <v>76</v>
      </c>
      <c r="O14" s="9"/>
      <c r="P14" s="6"/>
      <c r="Q14" s="6"/>
    </row>
    <row r="15" spans="1:17" ht="46.8" x14ac:dyDescent="0.3">
      <c r="A15" s="9">
        <v>2</v>
      </c>
      <c r="B15" s="6" t="s">
        <v>4</v>
      </c>
      <c r="C15" s="6" t="str">
        <f>VLOOKUP(B15, DANH_MUC!$A$2:$D$50, 2, FALSE)</f>
        <v>Liebherr CBB 32(40)/32- LB40-2</v>
      </c>
      <c r="D15" s="9" t="str">
        <f>VLOOKUP(B15, DANH_MUC!$A$2:$D$50, 4, FALSE)</f>
        <v>40T</v>
      </c>
      <c r="E15" s="9">
        <v>5636</v>
      </c>
      <c r="F15" s="9">
        <v>5717</v>
      </c>
      <c r="G15" s="6">
        <f>IF(AND(ISNUMBER(E15),ISNUMBER(F15)),F15-E15,0)</f>
        <v>81</v>
      </c>
      <c r="H15" s="6" t="s">
        <v>3</v>
      </c>
      <c r="I15" s="6" t="s">
        <v>78</v>
      </c>
      <c r="K15" s="6" t="s">
        <v>79</v>
      </c>
      <c r="L15" s="9">
        <v>0</v>
      </c>
      <c r="M15" s="9">
        <v>0</v>
      </c>
      <c r="N15" s="6" t="s">
        <v>80</v>
      </c>
      <c r="O15" s="10">
        <v>46023</v>
      </c>
      <c r="P15" s="6"/>
      <c r="Q15" s="6" t="s">
        <v>81</v>
      </c>
    </row>
    <row r="16" spans="1:17" ht="17.399999999999999" x14ac:dyDescent="0.3">
      <c r="A16" s="32" t="s">
        <v>82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</row>
    <row r="17" spans="1:17" ht="46.8" x14ac:dyDescent="0.3">
      <c r="A17" s="9">
        <v>1</v>
      </c>
      <c r="B17" s="8" t="s">
        <v>13</v>
      </c>
      <c r="C17" s="6" t="str">
        <f>VLOOKUP(B17, DANH_MUC!$A$2:$D$50, 2, FALSE)</f>
        <v>Kobelco SK300</v>
      </c>
      <c r="D17" s="9" t="str">
        <f>VLOOKUP(B17, DANH_MUC!$A$2:$D$50, 4, FALSE)</f>
        <v>230HP/1.2m³</v>
      </c>
      <c r="E17" s="9">
        <v>3849</v>
      </c>
      <c r="F17" s="9">
        <v>3878</v>
      </c>
      <c r="G17" s="8">
        <f>IF(AND(ISNUMBER(E17),ISNUMBER(F17)),F17-E17,0)</f>
        <v>29</v>
      </c>
      <c r="H17" s="8" t="s">
        <v>124</v>
      </c>
      <c r="I17" s="6" t="s">
        <v>83</v>
      </c>
      <c r="K17" s="8" t="s">
        <v>84</v>
      </c>
      <c r="L17" s="9">
        <v>0</v>
      </c>
      <c r="M17" s="9">
        <v>0</v>
      </c>
      <c r="N17" s="6" t="s">
        <v>80</v>
      </c>
      <c r="O17" s="9" t="s">
        <v>85</v>
      </c>
      <c r="P17" s="8"/>
      <c r="Q17" s="8" t="s">
        <v>86</v>
      </c>
    </row>
    <row r="18" spans="1:17" ht="46.8" x14ac:dyDescent="0.3">
      <c r="A18" s="9">
        <v>2</v>
      </c>
      <c r="B18" s="8" t="s">
        <v>17</v>
      </c>
      <c r="C18" s="6" t="str">
        <f>VLOOKUP(B18, DANH_MUC!$A$2:$D$50, 2, FALSE)</f>
        <v>Kobelco SK250-8</v>
      </c>
      <c r="D18" s="9" t="str">
        <f>VLOOKUP(B18, DANH_MUC!$A$2:$D$50, 4, FALSE)</f>
        <v>175HP/1m³</v>
      </c>
      <c r="E18" s="9">
        <v>1085</v>
      </c>
      <c r="F18" s="9">
        <v>1138</v>
      </c>
      <c r="G18" s="8">
        <f>IF(AND(ISNUMBER(E18),ISNUMBER(F18)),F18-E18,0)</f>
        <v>53</v>
      </c>
      <c r="H18" s="8" t="s">
        <v>77</v>
      </c>
      <c r="I18" s="23" t="s">
        <v>119</v>
      </c>
      <c r="J18" s="6" t="s">
        <v>87</v>
      </c>
      <c r="K18" s="8" t="s">
        <v>88</v>
      </c>
      <c r="L18" s="9">
        <v>7</v>
      </c>
      <c r="M18" s="9">
        <v>5</v>
      </c>
      <c r="N18" s="6" t="s">
        <v>80</v>
      </c>
      <c r="O18" s="10">
        <v>46298</v>
      </c>
      <c r="P18" s="8"/>
      <c r="Q18" s="8" t="s">
        <v>89</v>
      </c>
    </row>
    <row r="19" spans="1:17" ht="31.2" x14ac:dyDescent="0.3">
      <c r="A19" s="9">
        <v>3</v>
      </c>
      <c r="B19" s="8" t="s">
        <v>20</v>
      </c>
      <c r="C19" s="6" t="str">
        <f>VLOOKUP(B19, DANH_MUC!$A$2:$D$50, 2, FALSE)</f>
        <v>Komatsu PC220-8LC</v>
      </c>
      <c r="D19" s="9" t="str">
        <f>VLOOKUP(B19, DANH_MUC!$A$2:$D$50, 4, FALSE)</f>
        <v>180HP/1m³</v>
      </c>
      <c r="E19" s="9">
        <v>11493</v>
      </c>
      <c r="F19" s="9">
        <v>11565</v>
      </c>
      <c r="G19" s="8">
        <f>IF(AND(ISNUMBER(E19),ISNUMBER(F19)),F19-E19,0)</f>
        <v>72</v>
      </c>
      <c r="H19" s="8" t="s">
        <v>3</v>
      </c>
      <c r="I19" s="19"/>
      <c r="J19" s="6"/>
      <c r="K19" s="8"/>
      <c r="L19" s="9"/>
      <c r="M19" s="9"/>
      <c r="N19" s="6"/>
      <c r="O19" s="9"/>
      <c r="P19" s="8"/>
      <c r="Q19" s="8"/>
    </row>
    <row r="20" spans="1:17" ht="46.8" x14ac:dyDescent="0.3">
      <c r="A20" s="9">
        <v>4</v>
      </c>
      <c r="B20" s="8" t="s">
        <v>23</v>
      </c>
      <c r="C20" s="6" t="str">
        <f>VLOOKUP(B20, DANH_MUC!$A$2:$D$50, 2, FALSE)</f>
        <v>Komatsu PC200-7LC</v>
      </c>
      <c r="D20" s="9" t="str">
        <f>VLOOKUP(B20, DANH_MUC!$A$2:$D$50, 4, FALSE)</f>
        <v>148HP/0,7m³</v>
      </c>
      <c r="E20" s="9">
        <v>542</v>
      </c>
      <c r="F20" s="9">
        <v>609</v>
      </c>
      <c r="G20" s="8">
        <f>IF(AND(ISNUMBER(E20),ISNUMBER(F20)),F20-E20,0)</f>
        <v>67</v>
      </c>
      <c r="H20" s="8" t="s">
        <v>90</v>
      </c>
      <c r="I20" s="6" t="s">
        <v>91</v>
      </c>
      <c r="K20" s="8" t="s">
        <v>92</v>
      </c>
      <c r="L20" s="9">
        <v>3.5</v>
      </c>
      <c r="M20" s="9">
        <v>4</v>
      </c>
      <c r="N20" s="6" t="s">
        <v>80</v>
      </c>
      <c r="O20" s="10">
        <v>46268</v>
      </c>
      <c r="P20" s="8"/>
      <c r="Q20" s="8" t="s">
        <v>93</v>
      </c>
    </row>
    <row r="21" spans="1:17" ht="62.4" x14ac:dyDescent="0.3">
      <c r="A21" s="9">
        <v>5</v>
      </c>
      <c r="B21" s="8" t="s">
        <v>5</v>
      </c>
      <c r="C21" s="6" t="str">
        <f>VLOOKUP(B21, DANH_MUC!$A$2:$D$50, 2, FALSE)</f>
        <v>Komatsu PC200-7</v>
      </c>
      <c r="D21" s="9" t="str">
        <f>VLOOKUP(B21, DANH_MUC!$A$2:$D$50, 4, FALSE)</f>
        <v>145HP/0.7m³</v>
      </c>
      <c r="E21" s="9">
        <v>512</v>
      </c>
      <c r="F21" s="9">
        <v>528</v>
      </c>
      <c r="G21" s="8">
        <f>IF(AND(ISNUMBER(E21),ISNUMBER(F21)),F21-E21,0)</f>
        <v>16</v>
      </c>
      <c r="H21" s="8" t="s">
        <v>124</v>
      </c>
      <c r="I21" s="6" t="s">
        <v>94</v>
      </c>
      <c r="J21" s="22"/>
      <c r="K21" s="8" t="s">
        <v>95</v>
      </c>
      <c r="L21" s="9">
        <v>0</v>
      </c>
      <c r="M21" s="9">
        <v>0</v>
      </c>
      <c r="N21" s="6" t="s">
        <v>80</v>
      </c>
      <c r="O21" s="10">
        <v>45658</v>
      </c>
      <c r="P21" s="8" t="s">
        <v>96</v>
      </c>
      <c r="Q21" s="8" t="s">
        <v>97</v>
      </c>
    </row>
    <row r="22" spans="1:17" ht="17.399999999999999" x14ac:dyDescent="0.3">
      <c r="A22" s="32" t="s">
        <v>98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4"/>
    </row>
    <row r="23" spans="1:17" ht="15.6" x14ac:dyDescent="0.3">
      <c r="A23" s="9">
        <v>1</v>
      </c>
      <c r="B23" s="8" t="s">
        <v>28</v>
      </c>
      <c r="C23" s="6" t="str">
        <f>VLOOKUP(B23, DANH_MUC!$A$2:$D$50, 2, FALSE)</f>
        <v>TCM 2.8T</v>
      </c>
      <c r="D23" s="9" t="str">
        <f>VLOOKUP(B23, DANH_MUC!$A$2:$D$50, 4, FALSE)</f>
        <v>2.8T</v>
      </c>
      <c r="E23" s="9"/>
      <c r="F23" s="9"/>
      <c r="G23" s="8">
        <f>IF(AND(ISNUMBER(E23),ISNUMBER(F23)),F23-E23,0)</f>
        <v>0</v>
      </c>
      <c r="H23" s="8" t="s">
        <v>3</v>
      </c>
      <c r="I23" s="19"/>
      <c r="J23" s="6"/>
      <c r="K23" s="8"/>
      <c r="L23" s="9"/>
      <c r="M23" s="9"/>
      <c r="N23" s="6"/>
      <c r="O23" s="9"/>
      <c r="P23" s="8"/>
      <c r="Q23" s="8"/>
    </row>
    <row r="24" spans="1:17" ht="46.8" x14ac:dyDescent="0.3">
      <c r="A24" s="9">
        <v>2</v>
      </c>
      <c r="B24" s="8" t="s">
        <v>32</v>
      </c>
      <c r="C24" s="6" t="str">
        <f>VLOOKUP(B24, DANH_MUC!$A$2:$D$50, 2, FALSE)</f>
        <v>TCM FD 135</v>
      </c>
      <c r="D24" s="9" t="str">
        <f>VLOOKUP(B24, DANH_MUC!$A$2:$D$50, 4, FALSE)</f>
        <v>13.5T/146HP</v>
      </c>
      <c r="E24" s="9">
        <v>1400</v>
      </c>
      <c r="F24" s="9">
        <v>1402</v>
      </c>
      <c r="G24" s="8">
        <f>IF(AND(ISNUMBER(E24),ISNUMBER(F24)),F24-E24,0)</f>
        <v>2</v>
      </c>
      <c r="H24" s="8" t="s">
        <v>99</v>
      </c>
      <c r="I24" s="6" t="s">
        <v>100</v>
      </c>
      <c r="K24" s="8" t="s">
        <v>101</v>
      </c>
      <c r="L24" s="9"/>
      <c r="M24" s="9"/>
      <c r="N24" s="6"/>
      <c r="O24" s="9" t="s">
        <v>102</v>
      </c>
      <c r="P24" s="8"/>
      <c r="Q24" s="8"/>
    </row>
    <row r="25" spans="1:17" ht="31.2" x14ac:dyDescent="0.3">
      <c r="A25" s="9">
        <v>3</v>
      </c>
      <c r="B25" s="8" t="s">
        <v>35</v>
      </c>
      <c r="C25" s="6" t="str">
        <f>VLOOKUP(B25, DANH_MUC!$A$2:$D$50, 2, FALSE)</f>
        <v>KALMAR KM25-1</v>
      </c>
      <c r="D25" s="9" t="str">
        <f>VLOOKUP(B25, DANH_MUC!$A$2:$D$50, 4, FALSE)</f>
        <v>–</v>
      </c>
      <c r="E25" s="9">
        <v>889</v>
      </c>
      <c r="F25" s="9">
        <v>905</v>
      </c>
      <c r="G25" s="8">
        <f>IF(AND(ISNUMBER(E25),ISNUMBER(F25)),F25-E25,0)</f>
        <v>16</v>
      </c>
      <c r="H25" s="8" t="s">
        <v>3</v>
      </c>
      <c r="I25" s="19"/>
      <c r="J25" s="22"/>
      <c r="K25" s="8"/>
      <c r="L25" s="9"/>
      <c r="M25" s="9"/>
      <c r="N25" s="6"/>
      <c r="O25" s="9"/>
      <c r="P25" s="8"/>
      <c r="Q25" s="8"/>
    </row>
    <row r="26" spans="1:17" ht="31.2" x14ac:dyDescent="0.3">
      <c r="A26" s="9">
        <v>4</v>
      </c>
      <c r="B26" s="8" t="s">
        <v>38</v>
      </c>
      <c r="C26" s="6" t="str">
        <f>VLOOKUP(B26, DANH_MUC!$A$2:$D$50, 2, FALSE)</f>
        <v>TCM FD 250Z5</v>
      </c>
      <c r="D26" s="9" t="str">
        <f>VLOOKUP(B26, DANH_MUC!$A$2:$D$50, 4, FALSE)</f>
        <v>25T</v>
      </c>
      <c r="E26" s="9">
        <v>30</v>
      </c>
      <c r="F26" s="9">
        <v>32</v>
      </c>
      <c r="G26" s="8">
        <f>IF(AND(ISNUMBER(E26),ISNUMBER(F26)),F26-E26,0)</f>
        <v>2</v>
      </c>
      <c r="H26" s="8" t="s">
        <v>3</v>
      </c>
      <c r="I26" s="6" t="s">
        <v>103</v>
      </c>
      <c r="J26" s="23" t="s">
        <v>120</v>
      </c>
      <c r="K26" s="8" t="s">
        <v>104</v>
      </c>
      <c r="L26" s="9"/>
      <c r="M26" s="9"/>
      <c r="N26" s="6" t="s">
        <v>76</v>
      </c>
      <c r="O26" s="9"/>
      <c r="P26" s="8"/>
      <c r="Q26" s="8"/>
    </row>
    <row r="27" spans="1:17" ht="46.8" x14ac:dyDescent="0.3">
      <c r="A27" s="9">
        <v>5</v>
      </c>
      <c r="B27" s="8" t="s">
        <v>41</v>
      </c>
      <c r="C27" s="6" t="str">
        <f>VLOOKUP(B27, DANH_MUC!$A$2:$D$50, 2, FALSE)</f>
        <v>Xúc lật KUBOTA RA501</v>
      </c>
      <c r="D27" s="9" t="str">
        <f>VLOOKUP(B27, DANH_MUC!$A$2:$D$50, 4, FALSE)</f>
        <v>–</v>
      </c>
      <c r="E27" s="9">
        <v>232</v>
      </c>
      <c r="F27" s="9">
        <v>254</v>
      </c>
      <c r="G27" s="8">
        <f>IF(AND(ISNUMBER(E27),ISNUMBER(F27)),F27-E27,0)</f>
        <v>22</v>
      </c>
      <c r="H27" s="8" t="s">
        <v>124</v>
      </c>
      <c r="I27" s="19"/>
      <c r="J27" s="6" t="s">
        <v>105</v>
      </c>
      <c r="K27" s="8"/>
      <c r="L27" s="9"/>
      <c r="M27" s="9"/>
      <c r="N27" s="6"/>
      <c r="O27" s="9"/>
      <c r="P27" s="8"/>
      <c r="Q27" s="8"/>
    </row>
    <row r="28" spans="1:17" ht="17.399999999999999" x14ac:dyDescent="0.3">
      <c r="A28" s="32" t="s">
        <v>106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4"/>
    </row>
    <row r="29" spans="1:17" ht="15.6" x14ac:dyDescent="0.3">
      <c r="A29" s="9">
        <v>1</v>
      </c>
      <c r="B29" s="8" t="s">
        <v>43</v>
      </c>
      <c r="C29" s="6" t="str">
        <f>VLOOKUP(B29, DANH_MUC!$A$2:$D$50, 2, FALSE)</f>
        <v>Gàu diesel số 1</v>
      </c>
      <c r="D29" s="9" t="str">
        <f>VLOOKUP(B29, DANH_MUC!$A$2:$D$50, 4, FALSE)</f>
        <v>51KW/5m³</v>
      </c>
      <c r="E29" s="9"/>
      <c r="F29" s="9"/>
      <c r="G29" s="8">
        <f t="shared" ref="G29:G35" si="0">IF(AND(ISNUMBER(E29),ISNUMBER(F29)),F29-E29,0)</f>
        <v>0</v>
      </c>
      <c r="H29" s="8" t="s">
        <v>3</v>
      </c>
      <c r="I29" s="19"/>
      <c r="J29" s="6"/>
      <c r="K29" s="8"/>
      <c r="L29" s="9"/>
      <c r="M29" s="9"/>
      <c r="N29" s="6"/>
      <c r="O29" s="9"/>
      <c r="P29" s="8"/>
      <c r="Q29" s="8"/>
    </row>
    <row r="30" spans="1:17" ht="46.8" x14ac:dyDescent="0.3">
      <c r="A30" s="9">
        <v>2</v>
      </c>
      <c r="B30" s="8" t="s">
        <v>47</v>
      </c>
      <c r="C30" s="6" t="str">
        <f>VLOOKUP(B30, DANH_MUC!$A$2:$D$50, 2, FALSE)</f>
        <v>Gàu diesel số 2</v>
      </c>
      <c r="D30" s="9" t="str">
        <f>VLOOKUP(B30, DANH_MUC!$A$2:$D$50, 4, FALSE)</f>
        <v>51KW/5m³</v>
      </c>
      <c r="E30" s="9"/>
      <c r="F30" s="9"/>
      <c r="G30" s="8">
        <f t="shared" si="0"/>
        <v>0</v>
      </c>
      <c r="H30" s="8" t="s">
        <v>99</v>
      </c>
      <c r="I30" s="6" t="s">
        <v>107</v>
      </c>
      <c r="K30" s="8" t="s">
        <v>108</v>
      </c>
      <c r="L30" s="9"/>
      <c r="M30" s="9"/>
      <c r="N30" s="6"/>
      <c r="O30" s="10">
        <v>45662</v>
      </c>
      <c r="P30" s="8"/>
      <c r="Q30" s="8" t="s">
        <v>89</v>
      </c>
    </row>
    <row r="31" spans="1:17" ht="15.6" x14ac:dyDescent="0.3">
      <c r="A31" s="9">
        <v>3</v>
      </c>
      <c r="B31" s="8" t="s">
        <v>49</v>
      </c>
      <c r="C31" s="6" t="str">
        <f>VLOOKUP(B31, DANH_MUC!$A$2:$D$50, 2, FALSE)</f>
        <v>Gàu diesel số 3</v>
      </c>
      <c r="D31" s="9" t="str">
        <f>VLOOKUP(B31, DANH_MUC!$A$2:$D$50, 4, FALSE)</f>
        <v>51KW/5m³</v>
      </c>
      <c r="E31" s="9"/>
      <c r="F31" s="9"/>
      <c r="G31" s="8">
        <f t="shared" si="0"/>
        <v>0</v>
      </c>
      <c r="H31" s="8" t="s">
        <v>3</v>
      </c>
      <c r="I31" s="19"/>
      <c r="J31" s="6"/>
      <c r="K31" s="8"/>
      <c r="L31" s="9"/>
      <c r="M31" s="9"/>
      <c r="N31" s="6"/>
      <c r="O31" s="9"/>
      <c r="P31" s="8"/>
      <c r="Q31" s="8"/>
    </row>
    <row r="32" spans="1:17" ht="31.2" x14ac:dyDescent="0.3">
      <c r="A32" s="9">
        <v>4</v>
      </c>
      <c r="B32" s="8" t="s">
        <v>51</v>
      </c>
      <c r="C32" s="6" t="str">
        <f>VLOOKUP(B32, DANH_MUC!$A$2:$D$50, 2, FALSE)</f>
        <v>Gàu diesel số 6</v>
      </c>
      <c r="D32" s="9" t="str">
        <f>VLOOKUP(B32, DANH_MUC!$A$2:$D$50, 4, FALSE)</f>
        <v>–</v>
      </c>
      <c r="E32" s="9">
        <v>1475</v>
      </c>
      <c r="F32" s="9">
        <v>1484</v>
      </c>
      <c r="G32" s="8">
        <f t="shared" si="0"/>
        <v>9</v>
      </c>
      <c r="H32" s="8" t="s">
        <v>3</v>
      </c>
      <c r="I32" s="19" t="s">
        <v>121</v>
      </c>
      <c r="J32" s="6" t="s">
        <v>122</v>
      </c>
      <c r="K32" s="8" t="s">
        <v>123</v>
      </c>
      <c r="L32" s="9">
        <v>1</v>
      </c>
      <c r="M32" s="9" t="s">
        <v>76</v>
      </c>
      <c r="N32" s="6"/>
      <c r="O32" s="9" t="s">
        <v>109</v>
      </c>
      <c r="P32" s="8"/>
      <c r="Q32" s="8"/>
    </row>
    <row r="33" spans="1:17" ht="15.6" x14ac:dyDescent="0.3">
      <c r="A33" s="9">
        <v>5</v>
      </c>
      <c r="B33" s="8" t="s">
        <v>53</v>
      </c>
      <c r="C33" s="6" t="str">
        <f>VLOOKUP(B33, DANH_MUC!$A$2:$D$50, 2, FALSE)</f>
        <v>Gàu diesel số 7</v>
      </c>
      <c r="D33" s="9" t="str">
        <f>VLOOKUP(B33, DANH_MUC!$A$2:$D$50, 4, FALSE)</f>
        <v>–</v>
      </c>
      <c r="E33" s="9">
        <v>2251</v>
      </c>
      <c r="F33" s="9">
        <v>2337</v>
      </c>
      <c r="G33" s="8">
        <f t="shared" si="0"/>
        <v>86</v>
      </c>
      <c r="H33" s="8" t="s">
        <v>3</v>
      </c>
      <c r="I33" s="19"/>
      <c r="J33" s="6"/>
      <c r="K33" s="8"/>
      <c r="L33" s="9"/>
      <c r="M33" s="9"/>
      <c r="N33" s="6"/>
      <c r="O33" s="9"/>
      <c r="P33" s="8"/>
      <c r="Q33" s="8"/>
    </row>
    <row r="34" spans="1:17" ht="15.6" x14ac:dyDescent="0.3">
      <c r="A34" s="9">
        <v>6</v>
      </c>
      <c r="B34" s="8" t="s">
        <v>55</v>
      </c>
      <c r="C34" s="6" t="str">
        <f>VLOOKUP(B34, DANH_MUC!$A$2:$D$50, 2, FALSE)</f>
        <v>Gàu điện 5m³</v>
      </c>
      <c r="D34" s="9" t="str">
        <f>VLOOKUP(B34, DANH_MUC!$A$2:$D$50, 4, FALSE)</f>
        <v>5m³</v>
      </c>
      <c r="E34" s="9"/>
      <c r="F34" s="9"/>
      <c r="G34" s="8">
        <f t="shared" si="0"/>
        <v>0</v>
      </c>
      <c r="H34" s="8" t="s">
        <v>3</v>
      </c>
      <c r="I34" s="19"/>
      <c r="J34" s="6"/>
      <c r="K34" s="8"/>
      <c r="L34" s="9"/>
      <c r="M34" s="9"/>
      <c r="N34" s="6"/>
      <c r="O34" s="9"/>
      <c r="P34" s="8"/>
      <c r="Q34" s="8"/>
    </row>
    <row r="35" spans="1:17" ht="15.6" x14ac:dyDescent="0.3">
      <c r="A35" s="9">
        <v>7</v>
      </c>
      <c r="B35" s="8" t="s">
        <v>58</v>
      </c>
      <c r="C35" s="6" t="str">
        <f>VLOOKUP(B35, DANH_MUC!$A$2:$D$50, 2, FALSE)</f>
        <v>Gàu điện 10m³</v>
      </c>
      <c r="D35" s="9" t="str">
        <f>VLOOKUP(B35, DANH_MUC!$A$2:$D$50, 4, FALSE)</f>
        <v>10m³</v>
      </c>
      <c r="E35" s="9"/>
      <c r="F35" s="9"/>
      <c r="G35" s="8">
        <f t="shared" si="0"/>
        <v>0</v>
      </c>
      <c r="H35" s="8" t="s">
        <v>77</v>
      </c>
      <c r="I35" s="6" t="s">
        <v>110</v>
      </c>
      <c r="J35" s="22"/>
      <c r="K35" s="8"/>
      <c r="L35" s="9"/>
      <c r="M35" s="9"/>
      <c r="N35" s="6"/>
      <c r="O35" s="9"/>
      <c r="P35" s="8"/>
      <c r="Q35" s="8"/>
    </row>
  </sheetData>
  <mergeCells count="10">
    <mergeCell ref="A1:D1"/>
    <mergeCell ref="A2:D2"/>
    <mergeCell ref="F2:H2"/>
    <mergeCell ref="A3:D3"/>
    <mergeCell ref="G3:H3"/>
    <mergeCell ref="A9:Q10"/>
    <mergeCell ref="A13:Q13"/>
    <mergeCell ref="A16:Q16"/>
    <mergeCell ref="A22:Q22"/>
    <mergeCell ref="A28:Q28"/>
  </mergeCells>
  <dataValidations count="2">
    <dataValidation type="list" allowBlank="1" showInputMessage="1" showErrorMessage="1" sqref="N9:N35" xr:uid="{CD02F890-5322-4529-9189-7F7D49FB5F3E}">
      <formula1>"Có, Không"</formula1>
    </dataValidation>
    <dataValidation type="list" allowBlank="1" showInputMessage="1" showErrorMessage="1" sqref="H12:H35" xr:uid="{7ADF0C89-BAF5-43CF-B8AD-343AFA820791}">
      <formula1>"Bình thường, Có lỗi nhẹ, Chờ vật tư, Đang sửa chữa, Ngưng sửa chữa"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DANH_MUC</vt:lpstr>
      <vt:lpstr>2026-W12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Lại Trần Trung Kiên</cp:lastModifiedBy>
  <dcterms:created xsi:type="dcterms:W3CDTF">2026-07-14T01:52:23Z</dcterms:created>
  <dcterms:modified xsi:type="dcterms:W3CDTF">2026-07-16T01:57:31Z</dcterms:modified>
</cp:coreProperties>
</file>